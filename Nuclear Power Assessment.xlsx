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a356e6720f985a4/Documents/Projects/Nuclear power plant assessment/"/>
    </mc:Choice>
  </mc:AlternateContent>
  <xr:revisionPtr revIDLastSave="384" documentId="11_F25DC773A252ABDACC10486169DF532E5BDE58ED" xr6:coauthVersionLast="47" xr6:coauthVersionMax="47" xr10:uidLastSave="{852C5092-EE3E-4EDC-B3E6-7805AED0D7E6}"/>
  <bookViews>
    <workbookView xWindow="-98" yWindow="-98" windowWidth="21795" windowHeight="12975" activeTab="3" xr2:uid="{00000000-000D-0000-FFFF-FFFF00000000}"/>
  </bookViews>
  <sheets>
    <sheet name="Assumptions" sheetId="1" r:id="rId1"/>
    <sheet name="Energy model" sheetId="2" r:id="rId2"/>
    <sheet name="Sensitivity analysis" sheetId="3" r:id="rId3"/>
    <sheet name="Resul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9" i="4"/>
  <c r="B8" i="4"/>
  <c r="B5" i="4"/>
  <c r="C7" i="3"/>
  <c r="D7" i="3"/>
  <c r="E7" i="3"/>
  <c r="F7" i="3"/>
  <c r="B7" i="3"/>
  <c r="C2" i="3"/>
  <c r="C3" i="3" s="1"/>
  <c r="D2" i="3"/>
  <c r="D3" i="3" s="1"/>
  <c r="E2" i="3"/>
  <c r="E3" i="3" s="1"/>
  <c r="F2" i="3"/>
  <c r="F3" i="3" s="1"/>
  <c r="C15" i="2"/>
  <c r="C13" i="2"/>
  <c r="C7" i="2"/>
  <c r="C4" i="2"/>
  <c r="C3" i="2"/>
  <c r="C8" i="2" l="1"/>
  <c r="C5" i="2"/>
  <c r="B10" i="4" l="1"/>
  <c r="C12" i="2"/>
  <c r="C6" i="2"/>
  <c r="B7" i="4" s="1"/>
  <c r="B6" i="4"/>
  <c r="C14" i="2" l="1"/>
  <c r="B11" i="4" s="1"/>
  <c r="F14" i="4" s="1"/>
  <c r="C16" i="2"/>
  <c r="B12" i="4" s="1"/>
  <c r="F15" i="4" s="1"/>
</calcChain>
</file>

<file path=xl/sharedStrings.xml><?xml version="1.0" encoding="utf-8"?>
<sst xmlns="http://schemas.openxmlformats.org/spreadsheetml/2006/main" count="95" uniqueCount="63">
  <si>
    <t>Parameter</t>
  </si>
  <si>
    <t>Value</t>
  </si>
  <si>
    <t>Unit</t>
  </si>
  <si>
    <t>MW</t>
  </si>
  <si>
    <t>Thermal efficiency</t>
  </si>
  <si>
    <t>%</t>
  </si>
  <si>
    <t>Hours per year</t>
  </si>
  <si>
    <t>h/year</t>
  </si>
  <si>
    <t>Capacity factor</t>
  </si>
  <si>
    <t>Nuclear emissions intensity</t>
  </si>
  <si>
    <t>g CO₂e/kWh</t>
  </si>
  <si>
    <t>Gas emissions intensity</t>
  </si>
  <si>
    <t>Project information</t>
  </si>
  <si>
    <t>Plant type</t>
  </si>
  <si>
    <t xml:space="preserve">Hypothetical nuclear power plant </t>
  </si>
  <si>
    <t>Electrical capacity</t>
  </si>
  <si>
    <t>1 GW</t>
  </si>
  <si>
    <t xml:space="preserve">Analysis type </t>
  </si>
  <si>
    <t>Calculation</t>
  </si>
  <si>
    <t>Electrical power</t>
  </si>
  <si>
    <t>Required thermal power</t>
  </si>
  <si>
    <t>Waste heat</t>
  </si>
  <si>
    <t>Annual electricity generation</t>
  </si>
  <si>
    <t>TWh/year</t>
  </si>
  <si>
    <t>Emissions comparison</t>
  </si>
  <si>
    <t>kWh/year</t>
  </si>
  <si>
    <t>tonnes CO₂e/year</t>
  </si>
  <si>
    <t xml:space="preserve">Nuclear annual emissions </t>
  </si>
  <si>
    <t xml:space="preserve">Gas emissions intensity </t>
  </si>
  <si>
    <t xml:space="preserve">Gas annual emissions </t>
  </si>
  <si>
    <t>Required thermal power (MW)</t>
  </si>
  <si>
    <t>Waste heat (MW)</t>
  </si>
  <si>
    <t xml:space="preserve">Annual electricity generation (TWh/year) </t>
  </si>
  <si>
    <t>Nuclear power plant: Key results</t>
  </si>
  <si>
    <t>Result</t>
  </si>
  <si>
    <t>Electrical output</t>
  </si>
  <si>
    <t>Thermal power required</t>
  </si>
  <si>
    <t xml:space="preserve">Annual electricity generation </t>
  </si>
  <si>
    <t>Nuclear annual emissions</t>
  </si>
  <si>
    <t>Gas annual emissions</t>
  </si>
  <si>
    <t>Simplified nuclear power generation process</t>
  </si>
  <si>
    <t xml:space="preserve">Technology </t>
  </si>
  <si>
    <t>Annual emissions</t>
  </si>
  <si>
    <t xml:space="preserve">Nuclear </t>
  </si>
  <si>
    <t>Natural gas</t>
  </si>
  <si>
    <t>Chemical engineering relevance</t>
  </si>
  <si>
    <t>Area</t>
  </si>
  <si>
    <t>Relevance to nuclear power</t>
  </si>
  <si>
    <t>Thermodynamics</t>
  </si>
  <si>
    <t>Conversion of thermal energy into electrical power</t>
  </si>
  <si>
    <t>Heat transfer</t>
  </si>
  <si>
    <t>Steam generation and condenser heat rejection</t>
  </si>
  <si>
    <t>Fluid flow</t>
  </si>
  <si>
    <t xml:space="preserve">Circulation of water and steam through the power cycle </t>
  </si>
  <si>
    <t>Process control</t>
  </si>
  <si>
    <t xml:space="preserve">Monitoring and controlling temperature, pressure and flow </t>
  </si>
  <si>
    <t>Process safety</t>
  </si>
  <si>
    <t>Management of high temperature and pressure, and radioactive hazards</t>
  </si>
  <si>
    <t xml:space="preserve">Waste management </t>
  </si>
  <si>
    <t>Treatment, storage and disposal of radioactive materials</t>
  </si>
  <si>
    <t>Plant design</t>
  </si>
  <si>
    <t>Equipment, piping and integration of process systems</t>
  </si>
  <si>
    <t xml:space="preserve">Simplified process engineering assessment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</si>
</sst>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0" borderId="0" xfId="0" applyFont="1"/>
    <xf numFmtId="0" fontId="0" fillId="0" borderId="3" xfId="0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1" xfId="0" applyFont="1" applyBorder="1"/>
    <xf numFmtId="0" fontId="2" fillId="0" borderId="0" xfId="0" applyFont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" fontId="0" fillId="0" borderId="7" xfId="1" applyNumberFormat="1" applyFont="1" applyBorder="1" applyAlignment="1">
      <alignment horizontal="center" vertical="center" wrapText="1"/>
    </xf>
    <xf numFmtId="9" fontId="0" fillId="0" borderId="7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/>
    <xf numFmtId="9" fontId="2" fillId="0" borderId="1" xfId="0" applyNumberFormat="1" applyFont="1" applyBorder="1"/>
    <xf numFmtId="9" fontId="2" fillId="0" borderId="9" xfId="0" applyNumberFormat="1" applyFont="1" applyBorder="1"/>
    <xf numFmtId="0" fontId="0" fillId="0" borderId="1" xfId="0" applyBorder="1"/>
    <xf numFmtId="0" fontId="3" fillId="0" borderId="1" xfId="0" applyFont="1" applyBorder="1"/>
    <xf numFmtId="0" fontId="2" fillId="0" borderId="9" xfId="0" applyFont="1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7" xfId="0" applyNumberFormat="1" applyBorder="1"/>
    <xf numFmtId="2" fontId="0" fillId="0" borderId="3" xfId="0" applyNumberFormat="1" applyBorder="1"/>
    <xf numFmtId="2" fontId="0" fillId="0" borderId="8" xfId="0" applyNumberFormat="1" applyBorder="1"/>
    <xf numFmtId="2" fontId="0" fillId="0" borderId="5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 of thermal efficiency on waste heat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25177669251163"/>
          <c:y val="0.20271409758998615"/>
          <c:w val="0.77850570129512664"/>
          <c:h val="0.63362514513890855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'Sensitivity analysis'!$A$3</c:f>
              <c:strCache>
                <c:ptCount val="1"/>
                <c:pt idx="0">
                  <c:v>Waste heat (MW)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'Sensitivity analysis'!$B$1:$F$1</c:f>
              <c:numCache>
                <c:formatCode>0%</c:formatCode>
                <c:ptCount val="5"/>
                <c:pt idx="0">
                  <c:v>0.25</c:v>
                </c:pt>
                <c:pt idx="1">
                  <c:v>0.3</c:v>
                </c:pt>
                <c:pt idx="2">
                  <c:v>0.33</c:v>
                </c:pt>
                <c:pt idx="3">
                  <c:v>0.35</c:v>
                </c:pt>
                <c:pt idx="4">
                  <c:v>0.4</c:v>
                </c:pt>
              </c:numCache>
            </c:numRef>
          </c:xVal>
          <c:yVal>
            <c:numRef>
              <c:f>'Sensitivity analysis'!$B$3:$F$3</c:f>
              <c:numCache>
                <c:formatCode>0.00</c:formatCode>
                <c:ptCount val="5"/>
                <c:pt idx="0">
                  <c:v>3000</c:v>
                </c:pt>
                <c:pt idx="1">
                  <c:v>2333.3333333333335</c:v>
                </c:pt>
                <c:pt idx="2">
                  <c:v>2030.30303030303</c:v>
                </c:pt>
                <c:pt idx="3">
                  <c:v>1857.1428571428573</c:v>
                </c:pt>
                <c:pt idx="4">
                  <c:v>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2A-4797-9351-EC65E9622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21664"/>
        <c:axId val="132964656"/>
      </c:scatterChart>
      <c:valAx>
        <c:axId val="3542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Thermal</a:t>
                </a:r>
                <a:r>
                  <a:rPr lang="en-GB" baseline="0"/>
                  <a:t> 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64656"/>
        <c:crosses val="autoZero"/>
        <c:crossBetween val="midCat"/>
      </c:valAx>
      <c:valAx>
        <c:axId val="13296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Waste heat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2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Effect</a:t>
            </a:r>
            <a:r>
              <a:rPr lang="en-GB" baseline="0"/>
              <a:t> of capacity factor on annual electricity generation</a:t>
            </a:r>
          </a:p>
          <a:p>
            <a:pPr>
              <a:defRPr/>
            </a:pPr>
            <a:endParaRPr lang="en-GB"/>
          </a:p>
        </c:rich>
      </c:tx>
      <c:layout>
        <c:manualLayout>
          <c:xMode val="edge"/>
          <c:yMode val="edge"/>
          <c:x val="9.7622968669852483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'Sensitivity analysis'!$A$7</c:f>
              <c:strCache>
                <c:ptCount val="1"/>
                <c:pt idx="0">
                  <c:v>Annual electricity generation (TWh/year)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'Sensitivity analysis'!$B$6:$F$6</c:f>
              <c:numCache>
                <c:formatCode>0%</c:formatCode>
                <c:ptCount val="5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0.91</c:v>
                </c:pt>
                <c:pt idx="4">
                  <c:v>0.95</c:v>
                </c:pt>
              </c:numCache>
            </c:numRef>
          </c:xVal>
          <c:yVal>
            <c:numRef>
              <c:f>'Sensitivity analysis'!$B$7:$F$7</c:f>
              <c:numCache>
                <c:formatCode>General</c:formatCode>
                <c:ptCount val="5"/>
                <c:pt idx="0">
                  <c:v>6.1319999999999997</c:v>
                </c:pt>
                <c:pt idx="1">
                  <c:v>7.008</c:v>
                </c:pt>
                <c:pt idx="2">
                  <c:v>7.8840000000000003</c:v>
                </c:pt>
                <c:pt idx="3">
                  <c:v>7.9715999999999996</c:v>
                </c:pt>
                <c:pt idx="4">
                  <c:v>8.3219999999999992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9D-40A5-969C-AAD5E8AA7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206528"/>
        <c:axId val="132943536"/>
      </c:scatterChart>
      <c:valAx>
        <c:axId val="22220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Capacity</a:t>
                </a:r>
                <a:r>
                  <a:rPr lang="en-GB" baseline="0"/>
                  <a:t> factor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43536"/>
        <c:crosses val="autoZero"/>
        <c:crossBetween val="midCat"/>
      </c:valAx>
      <c:valAx>
        <c:axId val="13294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Annual</a:t>
                </a:r>
                <a:r>
                  <a:rPr lang="en-GB" baseline="0"/>
                  <a:t> electricity generation (TWh/year)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20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Indicative</a:t>
            </a:r>
            <a:r>
              <a:rPr lang="en-GB" baseline="0"/>
              <a:t> annual lifecycle emissions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Results!$F$13</c:f>
              <c:strCache>
                <c:ptCount val="1"/>
                <c:pt idx="0">
                  <c:v>Annual emissions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Results!$E$14:$E$15</c:f>
              <c:strCache>
                <c:ptCount val="2"/>
                <c:pt idx="0">
                  <c:v>Nuclear </c:v>
                </c:pt>
                <c:pt idx="1">
                  <c:v>Natural gas</c:v>
                </c:pt>
              </c:strCache>
            </c:strRef>
          </c:cat>
          <c:val>
            <c:numRef>
              <c:f>Results!$F$14:$F$15</c:f>
              <c:numCache>
                <c:formatCode>General</c:formatCode>
                <c:ptCount val="2"/>
                <c:pt idx="0">
                  <c:v>95659.199999999997</c:v>
                </c:pt>
                <c:pt idx="1">
                  <c:v>3188640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9-4230-AFB5-12C69C9A6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2212560"/>
        <c:axId val="132969936"/>
      </c:barChart>
      <c:catAx>
        <c:axId val="222212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69936"/>
        <c:crosses val="autoZero"/>
        <c:auto val="1"/>
        <c:lblAlgn val="ctr"/>
        <c:lblOffset val="100"/>
        <c:noMultiLvlLbl val="0"/>
      </c:catAx>
      <c:valAx>
        <c:axId val="13296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Annual</a:t>
                </a:r>
                <a:r>
                  <a:rPr lang="en-GB" baseline="0"/>
                  <a:t> emissions (tonnes CO₂e/year)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21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24630</xdr:colOff>
      <xdr:row>3</xdr:row>
      <xdr:rowOff>5121</xdr:rowOff>
    </xdr:from>
    <xdr:to>
      <xdr:col>5</xdr:col>
      <xdr:colOff>594032</xdr:colOff>
      <xdr:row>4</xdr:row>
      <xdr:rowOff>176571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A904A53-171B-5479-686E-995CBCC229C6}"/>
            </a:ext>
          </a:extLst>
        </xdr:cNvPr>
        <xdr:cNvSpPr/>
      </xdr:nvSpPr>
      <xdr:spPr>
        <a:xfrm>
          <a:off x="4275033" y="450646"/>
          <a:ext cx="1332427" cy="35068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Nuclear</a:t>
          </a:r>
          <a:r>
            <a:rPr lang="en-GB" sz="1100" baseline="0"/>
            <a:t> heat source</a:t>
          </a:r>
        </a:p>
      </xdr:txBody>
    </xdr:sp>
    <xdr:clientData/>
  </xdr:twoCellAnchor>
  <xdr:twoCellAnchor>
    <xdr:from>
      <xdr:col>6</xdr:col>
      <xdr:colOff>1</xdr:colOff>
      <xdr:row>3</xdr:row>
      <xdr:rowOff>0</xdr:rowOff>
    </xdr:from>
    <xdr:to>
      <xdr:col>8</xdr:col>
      <xdr:colOff>1</xdr:colOff>
      <xdr:row>4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F958DA-4177-42ED-B498-31740842FEB3}"/>
            </a:ext>
          </a:extLst>
        </xdr:cNvPr>
        <xdr:cNvSpPr/>
      </xdr:nvSpPr>
      <xdr:spPr>
        <a:xfrm>
          <a:off x="6200776" y="447675"/>
          <a:ext cx="1295400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aseline="0"/>
            <a:t>Steam generation </a:t>
          </a:r>
        </a:p>
      </xdr:txBody>
    </xdr:sp>
    <xdr:clientData/>
  </xdr:twoCellAnchor>
  <xdr:twoCellAnchor>
    <xdr:from>
      <xdr:col>9</xdr:col>
      <xdr:colOff>1</xdr:colOff>
      <xdr:row>3</xdr:row>
      <xdr:rowOff>0</xdr:rowOff>
    </xdr:from>
    <xdr:to>
      <xdr:col>10</xdr:col>
      <xdr:colOff>642939</xdr:colOff>
      <xdr:row>4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2184A42-913F-4261-9197-D5FFC7BF9D3F}"/>
            </a:ext>
          </a:extLst>
        </xdr:cNvPr>
        <xdr:cNvSpPr/>
      </xdr:nvSpPr>
      <xdr:spPr>
        <a:xfrm>
          <a:off x="8143876" y="447675"/>
          <a:ext cx="1290638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aseline="0"/>
            <a:t>Steam turbine</a:t>
          </a:r>
        </a:p>
        <a:p>
          <a:pPr algn="l"/>
          <a:endParaRPr lang="en-GB" sz="1100" baseline="0"/>
        </a:p>
      </xdr:txBody>
    </xdr:sp>
    <xdr:clientData/>
  </xdr:twoCellAnchor>
  <xdr:twoCellAnchor>
    <xdr:from>
      <xdr:col>12</xdr:col>
      <xdr:colOff>1</xdr:colOff>
      <xdr:row>3</xdr:row>
      <xdr:rowOff>0</xdr:rowOff>
    </xdr:from>
    <xdr:to>
      <xdr:col>14</xdr:col>
      <xdr:colOff>1</xdr:colOff>
      <xdr:row>4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1B99484-3DF0-4998-9E67-CCC913C69021}"/>
            </a:ext>
          </a:extLst>
        </xdr:cNvPr>
        <xdr:cNvSpPr/>
      </xdr:nvSpPr>
      <xdr:spPr>
        <a:xfrm>
          <a:off x="10086976" y="447675"/>
          <a:ext cx="1295400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aseline="0"/>
            <a:t>Electrical generator </a:t>
          </a:r>
        </a:p>
        <a:p>
          <a:pPr algn="l"/>
          <a:endParaRPr lang="en-GB" sz="1100" baseline="0"/>
        </a:p>
      </xdr:txBody>
    </xdr:sp>
    <xdr:clientData/>
  </xdr:twoCellAnchor>
  <xdr:twoCellAnchor>
    <xdr:from>
      <xdr:col>15</xdr:col>
      <xdr:colOff>1</xdr:colOff>
      <xdr:row>3</xdr:row>
      <xdr:rowOff>0</xdr:rowOff>
    </xdr:from>
    <xdr:to>
      <xdr:col>17</xdr:col>
      <xdr:colOff>1</xdr:colOff>
      <xdr:row>4</xdr:row>
      <xdr:rowOff>171450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3CA1B54-6966-4854-A787-1FAC7449609F}"/>
            </a:ext>
          </a:extLst>
        </xdr:cNvPr>
        <xdr:cNvSpPr/>
      </xdr:nvSpPr>
      <xdr:spPr>
        <a:xfrm>
          <a:off x="12030076" y="447675"/>
          <a:ext cx="1295400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aseline="0"/>
            <a:t>Electricity output</a:t>
          </a:r>
        </a:p>
        <a:p>
          <a:pPr algn="l"/>
          <a:endParaRPr lang="en-GB" sz="1100" baseline="0"/>
        </a:p>
      </xdr:txBody>
    </xdr:sp>
    <xdr:clientData/>
  </xdr:twoCellAnchor>
  <xdr:twoCellAnchor>
    <xdr:from>
      <xdr:col>5</xdr:col>
      <xdr:colOff>594032</xdr:colOff>
      <xdr:row>3</xdr:row>
      <xdr:rowOff>175342</xdr:rowOff>
    </xdr:from>
    <xdr:to>
      <xdr:col>6</xdr:col>
      <xdr:colOff>1</xdr:colOff>
      <xdr:row>4</xdr:row>
      <xdr:rowOff>1230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CDFC2932-C842-078C-7F1E-C737278022B2}"/>
            </a:ext>
          </a:extLst>
        </xdr:cNvPr>
        <xdr:cNvCxnSpPr>
          <a:stCxn id="2" idx="3"/>
          <a:endCxn id="3" idx="1"/>
        </xdr:cNvCxnSpPr>
      </xdr:nvCxnSpPr>
      <xdr:spPr>
        <a:xfrm flipV="1">
          <a:off x="5607460" y="620867"/>
          <a:ext cx="496735" cy="51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3</xdr:row>
      <xdr:rowOff>176213</xdr:rowOff>
    </xdr:from>
    <xdr:to>
      <xdr:col>9</xdr:col>
      <xdr:colOff>1</xdr:colOff>
      <xdr:row>3</xdr:row>
      <xdr:rowOff>176213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366D06D-9B71-3249-AE9B-FE447D62DBD7}"/>
            </a:ext>
          </a:extLst>
        </xdr:cNvPr>
        <xdr:cNvCxnSpPr>
          <a:stCxn id="3" idx="3"/>
          <a:endCxn id="4" idx="1"/>
        </xdr:cNvCxnSpPr>
      </xdr:nvCxnSpPr>
      <xdr:spPr>
        <a:xfrm>
          <a:off x="7496176" y="623888"/>
          <a:ext cx="647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642939</xdr:colOff>
      <xdr:row>3</xdr:row>
      <xdr:rowOff>176213</xdr:rowOff>
    </xdr:from>
    <xdr:to>
      <xdr:col>12</xdr:col>
      <xdr:colOff>1</xdr:colOff>
      <xdr:row>3</xdr:row>
      <xdr:rowOff>176213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0ED9B3A-BBE1-D150-851C-ACB78DF820E5}"/>
            </a:ext>
          </a:extLst>
        </xdr:cNvPr>
        <xdr:cNvCxnSpPr>
          <a:stCxn id="4" idx="3"/>
          <a:endCxn id="5" idx="1"/>
        </xdr:cNvCxnSpPr>
      </xdr:nvCxnSpPr>
      <xdr:spPr>
        <a:xfrm>
          <a:off x="9434514" y="623888"/>
          <a:ext cx="65246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3</xdr:row>
      <xdr:rowOff>176213</xdr:rowOff>
    </xdr:from>
    <xdr:to>
      <xdr:col>15</xdr:col>
      <xdr:colOff>1</xdr:colOff>
      <xdr:row>3</xdr:row>
      <xdr:rowOff>176213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41C9C72-B38E-58AD-11AE-5D6E5735542F}"/>
            </a:ext>
          </a:extLst>
        </xdr:cNvPr>
        <xdr:cNvCxnSpPr>
          <a:stCxn id="5" idx="3"/>
          <a:endCxn id="6" idx="1"/>
        </xdr:cNvCxnSpPr>
      </xdr:nvCxnSpPr>
      <xdr:spPr>
        <a:xfrm>
          <a:off x="11382376" y="623888"/>
          <a:ext cx="647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642939</xdr:colOff>
      <xdr:row>7</xdr:row>
      <xdr:rowOff>9525</xdr:rowOff>
    </xdr:from>
    <xdr:to>
      <xdr:col>10</xdr:col>
      <xdr:colOff>642939</xdr:colOff>
      <xdr:row>9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D74EF11-AF8E-4AD3-9842-F3E3BE5F5D52}"/>
            </a:ext>
          </a:extLst>
        </xdr:cNvPr>
        <xdr:cNvSpPr/>
      </xdr:nvSpPr>
      <xdr:spPr>
        <a:xfrm>
          <a:off x="8139114" y="1181100"/>
          <a:ext cx="1295400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aseline="0"/>
            <a:t>Condenser</a:t>
          </a:r>
        </a:p>
        <a:p>
          <a:pPr algn="l"/>
          <a:endParaRPr lang="en-GB" sz="1100" baseline="0"/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13</xdr:col>
      <xdr:colOff>633413</xdr:colOff>
      <xdr:row>8</xdr:row>
      <xdr:rowOff>171450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1C2D8A3-2358-4606-B797-4FE9BF687A47}"/>
            </a:ext>
          </a:extLst>
        </xdr:cNvPr>
        <xdr:cNvSpPr/>
      </xdr:nvSpPr>
      <xdr:spPr>
        <a:xfrm>
          <a:off x="10086975" y="1171575"/>
          <a:ext cx="1281113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aseline="0"/>
            <a:t>Feedwater pump</a:t>
          </a:r>
        </a:p>
        <a:p>
          <a:pPr algn="l"/>
          <a:endParaRPr lang="en-GB" sz="1100" baseline="0"/>
        </a:p>
      </xdr:txBody>
    </xdr:sp>
    <xdr:clientData/>
  </xdr:twoCellAnchor>
  <xdr:twoCellAnchor>
    <xdr:from>
      <xdr:col>15</xdr:col>
      <xdr:colOff>1</xdr:colOff>
      <xdr:row>7</xdr:row>
      <xdr:rowOff>0</xdr:rowOff>
    </xdr:from>
    <xdr:to>
      <xdr:col>16</xdr:col>
      <xdr:colOff>642939</xdr:colOff>
      <xdr:row>8</xdr:row>
      <xdr:rowOff>171450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84C1B7F-A421-4FA4-9CAB-27CD7EE68945}"/>
            </a:ext>
          </a:extLst>
        </xdr:cNvPr>
        <xdr:cNvSpPr/>
      </xdr:nvSpPr>
      <xdr:spPr>
        <a:xfrm>
          <a:off x="12030076" y="1171575"/>
          <a:ext cx="1290638" cy="35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aseline="0"/>
            <a:t>Steam generation</a:t>
          </a:r>
        </a:p>
        <a:p>
          <a:pPr algn="l"/>
          <a:endParaRPr lang="en-GB" sz="1100" baseline="0"/>
        </a:p>
      </xdr:txBody>
    </xdr:sp>
    <xdr:clientData/>
  </xdr:twoCellAnchor>
  <xdr:twoCellAnchor>
    <xdr:from>
      <xdr:col>9</xdr:col>
      <xdr:colOff>642939</xdr:colOff>
      <xdr:row>4</xdr:row>
      <xdr:rowOff>171450</xdr:rowOff>
    </xdr:from>
    <xdr:to>
      <xdr:col>9</xdr:col>
      <xdr:colOff>645320</xdr:colOff>
      <xdr:row>7</xdr:row>
      <xdr:rowOff>9525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4EEF39D5-8117-92F8-15D1-6EF5BDC98B21}"/>
            </a:ext>
          </a:extLst>
        </xdr:cNvPr>
        <xdr:cNvCxnSpPr>
          <a:stCxn id="4" idx="2"/>
          <a:endCxn id="15" idx="0"/>
        </xdr:cNvCxnSpPr>
      </xdr:nvCxnSpPr>
      <xdr:spPr>
        <a:xfrm flipH="1">
          <a:off x="8786814" y="800100"/>
          <a:ext cx="2381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642939</xdr:colOff>
      <xdr:row>7</xdr:row>
      <xdr:rowOff>176213</xdr:rowOff>
    </xdr:from>
    <xdr:to>
      <xdr:col>12</xdr:col>
      <xdr:colOff>0</xdr:colOff>
      <xdr:row>8</xdr:row>
      <xdr:rowOff>4763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611B1262-ACFC-B81F-0DC7-AD7B5B87AD8B}"/>
            </a:ext>
          </a:extLst>
        </xdr:cNvPr>
        <xdr:cNvCxnSpPr>
          <a:stCxn id="15" idx="3"/>
          <a:endCxn id="16" idx="1"/>
        </xdr:cNvCxnSpPr>
      </xdr:nvCxnSpPr>
      <xdr:spPr>
        <a:xfrm flipV="1">
          <a:off x="9434514" y="1347788"/>
          <a:ext cx="652461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633413</xdr:colOff>
      <xdr:row>7</xdr:row>
      <xdr:rowOff>176213</xdr:rowOff>
    </xdr:from>
    <xdr:to>
      <xdr:col>15</xdr:col>
      <xdr:colOff>1</xdr:colOff>
      <xdr:row>7</xdr:row>
      <xdr:rowOff>176213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EC4F78FC-438A-3179-E355-507FCA2E4254}"/>
            </a:ext>
          </a:extLst>
        </xdr:cNvPr>
        <xdr:cNvCxnSpPr>
          <a:stCxn id="16" idx="3"/>
          <a:endCxn id="17" idx="1"/>
        </xdr:cNvCxnSpPr>
      </xdr:nvCxnSpPr>
      <xdr:spPr>
        <a:xfrm>
          <a:off x="11368088" y="1347788"/>
          <a:ext cx="66198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645320</xdr:colOff>
      <xdr:row>4</xdr:row>
      <xdr:rowOff>171450</xdr:rowOff>
    </xdr:from>
    <xdr:to>
      <xdr:col>16</xdr:col>
      <xdr:colOff>1</xdr:colOff>
      <xdr:row>7</xdr:row>
      <xdr:rowOff>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47BDF759-7651-1FB5-DB1E-D6124D9CD8BA}"/>
            </a:ext>
          </a:extLst>
        </xdr:cNvPr>
        <xdr:cNvCxnSpPr>
          <a:stCxn id="17" idx="0"/>
          <a:endCxn id="6" idx="2"/>
        </xdr:cNvCxnSpPr>
      </xdr:nvCxnSpPr>
      <xdr:spPr>
        <a:xfrm flipV="1">
          <a:off x="12675395" y="800100"/>
          <a:ext cx="2381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359697</xdr:colOff>
      <xdr:row>11</xdr:row>
      <xdr:rowOff>116450</xdr:rowOff>
    </xdr:from>
    <xdr:to>
      <xdr:col>14</xdr:col>
      <xdr:colOff>40609</xdr:colOff>
      <xdr:row>27</xdr:row>
      <xdr:rowOff>73588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F03A72E3-8AB1-408F-AA40-C2709F43B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364819</xdr:colOff>
      <xdr:row>28</xdr:row>
      <xdr:rowOff>39739</xdr:rowOff>
    </xdr:from>
    <xdr:to>
      <xdr:col>14</xdr:col>
      <xdr:colOff>45731</xdr:colOff>
      <xdr:row>42</xdr:row>
      <xdr:rowOff>142772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FDCBDE55-F4FE-4CFC-9138-43D1FB95C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88105</xdr:colOff>
      <xdr:row>18</xdr:row>
      <xdr:rowOff>23813</xdr:rowOff>
    </xdr:from>
    <xdr:to>
      <xdr:col>21</xdr:col>
      <xdr:colOff>126205</xdr:colOff>
      <xdr:row>33</xdr:row>
      <xdr:rowOff>52388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AE0F15A4-3223-BFF7-51AE-7457DEC49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4"/>
  <sheetViews>
    <sheetView workbookViewId="0">
      <selection activeCell="C15" sqref="C15"/>
    </sheetView>
  </sheetViews>
  <sheetFormatPr defaultRowHeight="14.25"/>
  <cols>
    <col min="2" max="2" width="23.53125" customWidth="1"/>
    <col min="4" max="4" width="12.6640625" customWidth="1"/>
  </cols>
  <sheetData>
    <row r="2" spans="2:6">
      <c r="B2" s="9" t="s">
        <v>0</v>
      </c>
      <c r="C2" s="9" t="s">
        <v>1</v>
      </c>
      <c r="D2" s="10" t="s">
        <v>2</v>
      </c>
    </row>
    <row r="3" spans="2:6">
      <c r="B3" s="5" t="s">
        <v>35</v>
      </c>
      <c r="C3" s="5">
        <v>1000</v>
      </c>
      <c r="D3" s="3" t="s">
        <v>3</v>
      </c>
    </row>
    <row r="4" spans="2:6">
      <c r="B4" s="5" t="s">
        <v>4</v>
      </c>
      <c r="C4" s="8">
        <v>0.33</v>
      </c>
      <c r="D4" s="3" t="s">
        <v>5</v>
      </c>
    </row>
    <row r="5" spans="2:6">
      <c r="B5" s="5" t="s">
        <v>6</v>
      </c>
      <c r="C5" s="5">
        <v>8760</v>
      </c>
      <c r="D5" s="3" t="s">
        <v>7</v>
      </c>
    </row>
    <row r="6" spans="2:6">
      <c r="B6" s="5" t="s">
        <v>8</v>
      </c>
      <c r="C6" s="8">
        <v>0.91</v>
      </c>
      <c r="D6" s="3" t="s">
        <v>5</v>
      </c>
    </row>
    <row r="7" spans="2:6">
      <c r="B7" s="5" t="s">
        <v>9</v>
      </c>
      <c r="C7" s="5">
        <v>12</v>
      </c>
      <c r="D7" s="3" t="s">
        <v>10</v>
      </c>
    </row>
    <row r="8" spans="2:6">
      <c r="B8" s="6" t="s">
        <v>11</v>
      </c>
      <c r="C8" s="6">
        <v>400</v>
      </c>
      <c r="D8" s="4" t="s">
        <v>10</v>
      </c>
    </row>
    <row r="11" spans="2:6">
      <c r="B11" s="2" t="s">
        <v>12</v>
      </c>
    </row>
    <row r="12" spans="2:6">
      <c r="B12" s="20" t="s">
        <v>13</v>
      </c>
      <c r="C12" s="43" t="s">
        <v>14</v>
      </c>
      <c r="D12" s="43"/>
      <c r="E12" s="43"/>
      <c r="F12" s="44"/>
    </row>
    <row r="13" spans="2:6">
      <c r="B13" s="18" t="s">
        <v>15</v>
      </c>
      <c r="C13" s="39" t="s">
        <v>16</v>
      </c>
      <c r="D13" s="39"/>
      <c r="E13" s="39"/>
      <c r="F13" s="40"/>
    </row>
    <row r="14" spans="2:6">
      <c r="B14" s="19" t="s">
        <v>17</v>
      </c>
      <c r="C14" s="41" t="s">
        <v>62</v>
      </c>
      <c r="D14" s="41"/>
      <c r="E14" s="41"/>
      <c r="F14" s="42"/>
    </row>
  </sheetData>
  <mergeCells count="3">
    <mergeCell ref="C12:F12"/>
    <mergeCell ref="C13:F13"/>
    <mergeCell ref="C14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00FD-059A-4F9B-9B5A-27D097C635B7}">
  <dimension ref="B2:D16"/>
  <sheetViews>
    <sheetView workbookViewId="0">
      <selection activeCell="C5" sqref="C5"/>
    </sheetView>
  </sheetViews>
  <sheetFormatPr defaultRowHeight="14.25"/>
  <cols>
    <col min="2" max="2" width="24.33203125" customWidth="1"/>
    <col min="3" max="3" width="10.6640625" customWidth="1"/>
    <col min="4" max="4" width="14.265625" customWidth="1"/>
  </cols>
  <sheetData>
    <row r="2" spans="2:4">
      <c r="B2" s="30" t="s">
        <v>18</v>
      </c>
      <c r="C2" s="30" t="s">
        <v>1</v>
      </c>
      <c r="D2" s="31" t="s">
        <v>2</v>
      </c>
    </row>
    <row r="3" spans="2:4">
      <c r="B3" s="24" t="s">
        <v>19</v>
      </c>
      <c r="C3" s="26">
        <f>Assumptions!C3</f>
        <v>1000</v>
      </c>
      <c r="D3" s="22" t="s">
        <v>3</v>
      </c>
    </row>
    <row r="4" spans="2:4">
      <c r="B4" s="24" t="s">
        <v>4</v>
      </c>
      <c r="C4" s="27">
        <f>Assumptions!C4</f>
        <v>0.33</v>
      </c>
      <c r="D4" s="22" t="s">
        <v>5</v>
      </c>
    </row>
    <row r="5" spans="2:4">
      <c r="B5" s="24" t="s">
        <v>20</v>
      </c>
      <c r="C5" s="28">
        <f>C3/C4</f>
        <v>3030.30303030303</v>
      </c>
      <c r="D5" s="22" t="s">
        <v>3</v>
      </c>
    </row>
    <row r="6" spans="2:4">
      <c r="B6" s="24" t="s">
        <v>21</v>
      </c>
      <c r="C6" s="28">
        <f>C5-C3</f>
        <v>2030.30303030303</v>
      </c>
      <c r="D6" s="22" t="s">
        <v>3</v>
      </c>
    </row>
    <row r="7" spans="2:4">
      <c r="B7" s="24" t="s">
        <v>8</v>
      </c>
      <c r="C7" s="27">
        <f>Assumptions!C6</f>
        <v>0.91</v>
      </c>
      <c r="D7" s="22" t="s">
        <v>5</v>
      </c>
    </row>
    <row r="8" spans="2:4">
      <c r="B8" s="25" t="s">
        <v>22</v>
      </c>
      <c r="C8" s="29">
        <f>C3*Assumptions!C5*C7/1000000</f>
        <v>7.9715999999999996</v>
      </c>
      <c r="D8" s="23" t="s">
        <v>23</v>
      </c>
    </row>
    <row r="11" spans="2:4">
      <c r="B11" s="21" t="s">
        <v>24</v>
      </c>
      <c r="D11" s="1"/>
    </row>
    <row r="12" spans="2:4">
      <c r="B12" s="32" t="s">
        <v>22</v>
      </c>
      <c r="C12" s="17">
        <f>C8*1000000000</f>
        <v>7971600000</v>
      </c>
      <c r="D12" s="16" t="s">
        <v>25</v>
      </c>
    </row>
    <row r="13" spans="2:4">
      <c r="B13" s="24" t="s">
        <v>9</v>
      </c>
      <c r="C13" s="5">
        <f>Assumptions!C7</f>
        <v>12</v>
      </c>
      <c r="D13" s="3" t="s">
        <v>10</v>
      </c>
    </row>
    <row r="14" spans="2:4">
      <c r="B14" s="24" t="s">
        <v>27</v>
      </c>
      <c r="C14" s="5">
        <f>C12*C13/1000000</f>
        <v>95659.199999999997</v>
      </c>
      <c r="D14" s="3" t="s">
        <v>26</v>
      </c>
    </row>
    <row r="15" spans="2:4">
      <c r="B15" s="24" t="s">
        <v>28</v>
      </c>
      <c r="C15" s="5">
        <f>Assumptions!C8</f>
        <v>400</v>
      </c>
      <c r="D15" s="3" t="s">
        <v>10</v>
      </c>
    </row>
    <row r="16" spans="2:4">
      <c r="B16" s="25" t="s">
        <v>29</v>
      </c>
      <c r="C16" s="6">
        <f>C12*C15/1000000</f>
        <v>3188640</v>
      </c>
      <c r="D16" s="4" t="s">
        <v>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3264-3976-44AC-B2D2-ADDABBDE4908}">
  <dimension ref="A1:F7"/>
  <sheetViews>
    <sheetView workbookViewId="0">
      <selection activeCell="H4" sqref="H4"/>
    </sheetView>
  </sheetViews>
  <sheetFormatPr defaultRowHeight="14.25"/>
  <cols>
    <col min="1" max="1" width="33.53125" customWidth="1"/>
  </cols>
  <sheetData>
    <row r="1" spans="1:6">
      <c r="A1" s="20" t="s">
        <v>4</v>
      </c>
      <c r="B1" s="34">
        <v>0.25</v>
      </c>
      <c r="C1" s="34">
        <v>0.3</v>
      </c>
      <c r="D1" s="34">
        <v>0.33</v>
      </c>
      <c r="E1" s="34">
        <v>0.35</v>
      </c>
      <c r="F1" s="35">
        <v>0.4</v>
      </c>
    </row>
    <row r="2" spans="1:6">
      <c r="A2" s="18" t="s">
        <v>30</v>
      </c>
      <c r="B2" s="47">
        <f>Assumptions!$C$3/B1</f>
        <v>4000</v>
      </c>
      <c r="C2" s="47">
        <f>Assumptions!$C$3/C1</f>
        <v>3333.3333333333335</v>
      </c>
      <c r="D2" s="47">
        <f>Assumptions!$C$3/D1</f>
        <v>3030.30303030303</v>
      </c>
      <c r="E2" s="47">
        <f>Assumptions!$C$3/E1</f>
        <v>2857.1428571428573</v>
      </c>
      <c r="F2" s="48">
        <f>Assumptions!$C$3/F1</f>
        <v>2500</v>
      </c>
    </row>
    <row r="3" spans="1:6">
      <c r="A3" s="19" t="s">
        <v>31</v>
      </c>
      <c r="B3" s="49">
        <f>B2-Assumptions!$C$3</f>
        <v>3000</v>
      </c>
      <c r="C3" s="49">
        <f>C2-Assumptions!$C$3</f>
        <v>2333.3333333333335</v>
      </c>
      <c r="D3" s="49">
        <f>D2-Assumptions!$C$3</f>
        <v>2030.30303030303</v>
      </c>
      <c r="E3" s="49">
        <f>E2-Assumptions!$C$3</f>
        <v>1857.1428571428573</v>
      </c>
      <c r="F3" s="50">
        <f>F2-Assumptions!$C$3</f>
        <v>1500</v>
      </c>
    </row>
    <row r="6" spans="1:6">
      <c r="A6" s="20" t="s">
        <v>8</v>
      </c>
      <c r="B6" s="34">
        <v>0.7</v>
      </c>
      <c r="C6" s="34">
        <v>0.8</v>
      </c>
      <c r="D6" s="34">
        <v>0.9</v>
      </c>
      <c r="E6" s="34">
        <v>0.91</v>
      </c>
      <c r="F6" s="34">
        <v>0.95</v>
      </c>
    </row>
    <row r="7" spans="1:6">
      <c r="A7" s="36" t="s">
        <v>32</v>
      </c>
      <c r="B7" s="37">
        <f>Assumptions!$C$3*Assumptions!$C$5*B6/1000000</f>
        <v>6.1319999999999997</v>
      </c>
      <c r="C7" s="37">
        <f>Assumptions!$C$3*Assumptions!$C$5*C6/1000000</f>
        <v>7.008</v>
      </c>
      <c r="D7" s="37">
        <f>Assumptions!$C$3*Assumptions!$C$5*D6/1000000</f>
        <v>7.8840000000000003</v>
      </c>
      <c r="E7" s="37">
        <f>Assumptions!$C$3*Assumptions!$C$5*E6/1000000</f>
        <v>7.9715999999999996</v>
      </c>
      <c r="F7" s="37">
        <f>Assumptions!$C$3*Assumptions!$C$5*F6/1000000</f>
        <v>8.3219999999999992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7E09-A446-406C-9229-6BE2953451EC}">
  <dimension ref="A2:F29"/>
  <sheetViews>
    <sheetView tabSelected="1" zoomScale="93" zoomScaleNormal="64" workbookViewId="0">
      <selection activeCell="F12" sqref="F12"/>
    </sheetView>
  </sheetViews>
  <sheetFormatPr defaultRowHeight="14.25"/>
  <cols>
    <col min="1" max="1" width="26.6640625" customWidth="1"/>
    <col min="3" max="3" width="14.796875" customWidth="1"/>
    <col min="5" max="5" width="10.6640625" customWidth="1"/>
    <col min="6" max="6" width="15.265625" customWidth="1"/>
  </cols>
  <sheetData>
    <row r="2" spans="1:6" ht="21">
      <c r="A2" s="45" t="s">
        <v>33</v>
      </c>
      <c r="B2" s="39"/>
      <c r="C2" s="39"/>
      <c r="E2" s="11" t="s">
        <v>40</v>
      </c>
    </row>
    <row r="4" spans="1:6">
      <c r="A4" s="9" t="s">
        <v>0</v>
      </c>
      <c r="B4" s="9" t="s">
        <v>34</v>
      </c>
      <c r="C4" s="10" t="s">
        <v>2</v>
      </c>
    </row>
    <row r="5" spans="1:6">
      <c r="A5" s="13" t="s">
        <v>35</v>
      </c>
      <c r="B5" s="5">
        <f>Assumptions!C3</f>
        <v>1000</v>
      </c>
      <c r="C5" s="3" t="s">
        <v>3</v>
      </c>
    </row>
    <row r="6" spans="1:6">
      <c r="A6" s="13" t="s">
        <v>36</v>
      </c>
      <c r="B6" s="7">
        <f>'Energy model'!C5</f>
        <v>3030.30303030303</v>
      </c>
      <c r="C6" s="3" t="s">
        <v>3</v>
      </c>
    </row>
    <row r="7" spans="1:6">
      <c r="A7" s="13" t="s">
        <v>21</v>
      </c>
      <c r="B7" s="7">
        <f>'Energy model'!C6</f>
        <v>2030.30303030303</v>
      </c>
      <c r="C7" s="3" t="s">
        <v>3</v>
      </c>
    </row>
    <row r="8" spans="1:6">
      <c r="A8" s="13" t="s">
        <v>4</v>
      </c>
      <c r="B8" s="8">
        <f>Assumptions!C4</f>
        <v>0.33</v>
      </c>
      <c r="C8" s="3" t="s">
        <v>5</v>
      </c>
    </row>
    <row r="9" spans="1:6">
      <c r="A9" s="13" t="s">
        <v>8</v>
      </c>
      <c r="B9" s="8">
        <f>Assumptions!C6</f>
        <v>0.91</v>
      </c>
      <c r="C9" s="3" t="s">
        <v>5</v>
      </c>
    </row>
    <row r="10" spans="1:6">
      <c r="A10" s="13" t="s">
        <v>37</v>
      </c>
      <c r="B10" s="7">
        <f>'Energy model'!C8</f>
        <v>7.9715999999999996</v>
      </c>
      <c r="C10" s="3" t="s">
        <v>23</v>
      </c>
    </row>
    <row r="11" spans="1:6">
      <c r="A11" s="13" t="s">
        <v>38</v>
      </c>
      <c r="B11" s="15">
        <f>'Energy model'!C14</f>
        <v>95659.199999999997</v>
      </c>
      <c r="C11" s="3" t="s">
        <v>26</v>
      </c>
    </row>
    <row r="12" spans="1:6">
      <c r="A12" s="14" t="s">
        <v>39</v>
      </c>
      <c r="B12" s="6">
        <f>'Energy model'!C16</f>
        <v>3188640</v>
      </c>
      <c r="C12" s="4" t="s">
        <v>26</v>
      </c>
    </row>
    <row r="13" spans="1:6">
      <c r="E13" s="20" t="s">
        <v>41</v>
      </c>
      <c r="F13" s="38" t="s">
        <v>42</v>
      </c>
    </row>
    <row r="14" spans="1:6">
      <c r="E14" s="18" t="s">
        <v>43</v>
      </c>
      <c r="F14" s="12">
        <f>B11</f>
        <v>95659.199999999997</v>
      </c>
    </row>
    <row r="15" spans="1:6">
      <c r="E15" s="19" t="s">
        <v>44</v>
      </c>
      <c r="F15" s="33">
        <f>B12</f>
        <v>3188640</v>
      </c>
    </row>
    <row r="21" spans="1:6">
      <c r="A21" s="46" t="s">
        <v>45</v>
      </c>
      <c r="B21" s="39"/>
    </row>
    <row r="22" spans="1:6">
      <c r="A22" s="9" t="s">
        <v>46</v>
      </c>
      <c r="B22" s="43" t="s">
        <v>47</v>
      </c>
      <c r="C22" s="43"/>
      <c r="D22" s="43"/>
      <c r="E22" s="43"/>
      <c r="F22" s="44"/>
    </row>
    <row r="23" spans="1:6">
      <c r="A23" s="5" t="s">
        <v>48</v>
      </c>
      <c r="B23" t="s">
        <v>49</v>
      </c>
      <c r="F23" s="12"/>
    </row>
    <row r="24" spans="1:6">
      <c r="A24" s="5" t="s">
        <v>50</v>
      </c>
      <c r="B24" t="s">
        <v>51</v>
      </c>
      <c r="F24" s="12"/>
    </row>
    <row r="25" spans="1:6">
      <c r="A25" s="5" t="s">
        <v>52</v>
      </c>
      <c r="B25" t="s">
        <v>53</v>
      </c>
      <c r="F25" s="12"/>
    </row>
    <row r="26" spans="1:6">
      <c r="A26" s="5" t="s">
        <v>54</v>
      </c>
      <c r="B26" s="39" t="s">
        <v>55</v>
      </c>
      <c r="C26" s="39"/>
      <c r="D26" s="39"/>
      <c r="E26" s="39"/>
      <c r="F26" s="40"/>
    </row>
    <row r="27" spans="1:6">
      <c r="A27" s="5" t="s">
        <v>56</v>
      </c>
      <c r="B27" s="39" t="s">
        <v>57</v>
      </c>
      <c r="C27" s="39"/>
      <c r="D27" s="39"/>
      <c r="E27" s="39"/>
      <c r="F27" s="40"/>
    </row>
    <row r="28" spans="1:6">
      <c r="A28" s="5" t="s">
        <v>58</v>
      </c>
      <c r="B28" s="39" t="s">
        <v>59</v>
      </c>
      <c r="C28" s="39"/>
      <c r="D28" s="39"/>
      <c r="E28" s="39"/>
      <c r="F28" s="40"/>
    </row>
    <row r="29" spans="1:6">
      <c r="A29" s="6" t="s">
        <v>60</v>
      </c>
      <c r="B29" s="41" t="s">
        <v>61</v>
      </c>
      <c r="C29" s="41"/>
      <c r="D29" s="41"/>
      <c r="E29" s="41"/>
      <c r="F29" s="42"/>
    </row>
  </sheetData>
  <mergeCells count="7">
    <mergeCell ref="B28:F28"/>
    <mergeCell ref="B29:F29"/>
    <mergeCell ref="B22:F22"/>
    <mergeCell ref="A2:C2"/>
    <mergeCell ref="A21:B21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Energy model</vt:lpstr>
      <vt:lpstr>Sensitivity analysis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Twarita Ravuri</dc:creator>
  <cp:lastModifiedBy>Twarita Ravuri</cp:lastModifiedBy>
  <dcterms:created xsi:type="dcterms:W3CDTF">2015-06-05T18:17:20Z</dcterms:created>
  <dcterms:modified xsi:type="dcterms:W3CDTF">2026-09-27T10:59:18Z</dcterms:modified>
</cp:coreProperties>
</file>